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udget Planner" sheetId="2" state="visible" r:id="rId2"/>
    <sheet xmlns:r="http://schemas.openxmlformats.org/officeDocument/2006/relationships" name="Expense Tracker" sheetId="3" state="visible" r:id="rId3"/>
    <sheet xmlns:r="http://schemas.openxmlformats.org/officeDocument/2006/relationships" name="Savings Goals" sheetId="4" state="visible" r:id="rId4"/>
    <sheet xmlns:r="http://schemas.openxmlformats.org/officeDocument/2006/relationships" name="What-If Analysis" sheetId="5" state="visible" r:id="rId5"/>
    <sheet xmlns:r="http://schemas.openxmlformats.org/officeDocument/2006/relationships" name="Project Guide" sheetId="6" state="visible" r:id="rId6"/>
  </sheets>
  <definedNames>
    <definedName name="_xlnm._FilterDatabase" localSheetId="2" hidden="1">'Expense Tracker'!$A$3:$F$53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₹#,##0"/>
  </numFmts>
  <fonts count="7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404040"/>
    </font>
    <font>
      <b val="1"/>
      <color rgb="00404040"/>
    </font>
    <font>
      <b val="1"/>
      <color rgb="001F4E78"/>
      <sz val="18"/>
    </font>
    <font>
      <b val="1"/>
      <color rgb="00FFFFFF"/>
    </font>
    <font>
      <b val="1"/>
      <color rgb="001F4E78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2F2F2"/>
      </patternFill>
    </fill>
    <fill>
      <patternFill patternType="solid">
        <fgColor rgb="005B9BD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164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5" fillId="7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5" fontId="0" fillId="3" borderId="0" applyAlignment="1" pivotButton="0" quotePrefix="0" xfId="0">
      <alignment vertical="center" wrapText="1"/>
    </xf>
    <xf numFmtId="165" fontId="0" fillId="3" borderId="1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165" fontId="6" fillId="6" borderId="0" applyAlignment="1" pivotButton="0" quotePrefix="0" xfId="0">
      <alignment vertical="center" wrapText="1"/>
    </xf>
    <xf numFmtId="0" fontId="6" fillId="6" borderId="0" pivotButton="0" quotePrefix="0" xfId="0"/>
    <xf numFmtId="164" fontId="6" fillId="6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0" fontId="0" fillId="8" borderId="0" pivotButton="0" quotePrefix="0" xfId="0"/>
    <xf numFmtId="165" fontId="0" fillId="8" borderId="0" pivotButton="0" quotePrefix="0" xfId="0"/>
    <xf numFmtId="0" fontId="0" fillId="0" borderId="1" applyAlignment="1" pivotButton="0" quotePrefix="0" xfId="0">
      <alignment vertical="center" wrapText="1"/>
    </xf>
    <xf numFmtId="165" fontId="0" fillId="8" borderId="0" applyAlignment="1" pivotButton="0" quotePrefix="0" xfId="0">
      <alignment vertical="center" wrapText="1"/>
    </xf>
    <xf numFmtId="0" fontId="0" fillId="8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Spending by Category</a:t>
            </a:r>
          </a:p>
        </rich>
      </tx>
    </title>
    <plotArea>
      <pieChart>
        <varyColors val="1"/>
        <ser>
          <idx val="0"/>
          <order val="0"/>
          <tx>
            <strRef>
              <f>'Dashboard'!C9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'Dashboard'!$A$10:$A$16</f>
            </numRef>
          </cat>
          <val>
            <numRef>
              <f>'Dashboard'!$C$10:$C$16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'Dashboard'!$A$10:$A$16</f>
            </numRef>
          </cat>
          <val>
            <numRef>
              <f>'Dashboard'!$B$10:$B$16</f>
            </numRef>
          </val>
        </ser>
        <ser>
          <idx val="1"/>
          <order val="1"/>
          <tx>
            <strRef>
              <f>'Dashboard'!C9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'Dashboard'!$A$10:$A$16</f>
            </numRef>
          </cat>
          <val>
            <numRef>
              <f>'Dashboard'!$C$10:$C$16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18</row>
      <rowOff>0</rowOff>
    </from>
    <ext cx="46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4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Personal Finance &amp; Budgeting Model for College Students</t>
        </is>
      </c>
    </row>
    <row r="2">
      <c r="A2" s="2" t="inlineStr">
        <is>
          <t>Excel portfolio project • Edit the blue input cells to personalize the model</t>
        </is>
      </c>
    </row>
    <row r="3"/>
    <row r="4">
      <c r="A4" s="3" t="inlineStr">
        <is>
          <t>Monthly Income</t>
        </is>
      </c>
      <c r="C4" s="4" t="inlineStr">
        <is>
          <t>Monthly Expenses</t>
        </is>
      </c>
      <c r="E4" s="5" t="inlineStr">
        <is>
          <t>Monthly Savings</t>
        </is>
      </c>
      <c r="G4" s="6" t="inlineStr">
        <is>
          <t>Savings Rate</t>
        </is>
      </c>
    </row>
    <row r="5">
      <c r="A5" s="7">
        <f>'Budget Planner'!B4</f>
        <v/>
      </c>
      <c r="C5" s="8">
        <f>'Budget Planner'!B16</f>
        <v/>
      </c>
      <c r="E5" s="9">
        <f>'Budget Planner'!B17</f>
        <v/>
      </c>
      <c r="G5" s="10">
        <f>'Budget Planner'!B18</f>
        <v/>
      </c>
    </row>
    <row r="6"/>
    <row r="7"/>
    <row r="8">
      <c r="A8" s="11" t="inlineStr">
        <is>
          <t>Spending Overview</t>
        </is>
      </c>
    </row>
    <row r="9">
      <c r="A9" s="12" t="inlineStr">
        <is>
          <t>Category</t>
        </is>
      </c>
      <c r="B9" s="12" t="inlineStr">
        <is>
          <t>Monthly Budget</t>
        </is>
      </c>
      <c r="C9" s="12" t="inlineStr">
        <is>
          <t>Actual Expense</t>
        </is>
      </c>
    </row>
    <row r="10">
      <c r="A10" s="13" t="inlineStr">
        <is>
          <t>Food</t>
        </is>
      </c>
      <c r="B10" s="13">
        <f>'Budget Planner'!B6</f>
        <v/>
      </c>
      <c r="C10" s="13">
        <f>'Budget Planner'!C6</f>
        <v/>
      </c>
    </row>
    <row r="11">
      <c r="A11" s="13" t="inlineStr">
        <is>
          <t>Transportation</t>
        </is>
      </c>
      <c r="B11" s="13">
        <f>'Budget Planner'!B7</f>
        <v/>
      </c>
      <c r="C11" s="13">
        <f>'Budget Planner'!C7</f>
        <v/>
      </c>
    </row>
    <row r="12">
      <c r="A12" s="13" t="inlineStr">
        <is>
          <t>Education</t>
        </is>
      </c>
      <c r="B12" s="13">
        <f>'Budget Planner'!B8</f>
        <v/>
      </c>
      <c r="C12" s="13">
        <f>'Budget Planner'!C8</f>
        <v/>
      </c>
    </row>
    <row r="13">
      <c r="A13" s="13" t="inlineStr">
        <is>
          <t>Mobile/Internet</t>
        </is>
      </c>
      <c r="B13" s="13">
        <f>'Budget Planner'!B9</f>
        <v/>
      </c>
      <c r="C13" s="13">
        <f>'Budget Planner'!C9</f>
        <v/>
      </c>
    </row>
    <row r="14">
      <c r="A14" s="13" t="inlineStr">
        <is>
          <t>Entertainment</t>
        </is>
      </c>
      <c r="B14" s="13">
        <f>'Budget Planner'!B10</f>
        <v/>
      </c>
      <c r="C14" s="13">
        <f>'Budget Planner'!C10</f>
        <v/>
      </c>
    </row>
    <row r="15">
      <c r="A15" s="13" t="inlineStr">
        <is>
          <t>Personal</t>
        </is>
      </c>
      <c r="B15" s="13">
        <f>'Budget Planner'!B11</f>
        <v/>
      </c>
      <c r="C15" s="13">
        <f>'Budget Planner'!C11</f>
        <v/>
      </c>
    </row>
    <row r="16">
      <c r="A16" s="13" t="inlineStr">
        <is>
          <t>Emergency Fund</t>
        </is>
      </c>
      <c r="B16" s="13">
        <f>'Budget Planner'!B12</f>
        <v/>
      </c>
      <c r="C16" s="13">
        <f>'Budget Planner'!C12</f>
        <v/>
      </c>
    </row>
  </sheetData>
  <mergeCells count="10">
    <mergeCell ref="A4:B4"/>
    <mergeCell ref="G4:H4"/>
    <mergeCell ref="E4:F4"/>
    <mergeCell ref="A2:H2"/>
    <mergeCell ref="C5:D6"/>
    <mergeCell ref="A5:B6"/>
    <mergeCell ref="G5:H6"/>
    <mergeCell ref="E5:F6"/>
    <mergeCell ref="A1:H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Monthly Budget Planner</t>
        </is>
      </c>
    </row>
    <row r="2"/>
    <row r="3">
      <c r="A3" s="14" t="inlineStr">
        <is>
          <t>Input / Summary</t>
        </is>
      </c>
    </row>
    <row r="4">
      <c r="A4" s="15" t="inlineStr">
        <is>
          <t>Monthly Income</t>
        </is>
      </c>
      <c r="B4" s="16" t="n">
        <v>15000</v>
      </c>
    </row>
    <row r="5">
      <c r="A5" s="15" t="inlineStr">
        <is>
          <t>Savings Goal</t>
        </is>
      </c>
      <c r="B5" s="16" t="n">
        <v>3000</v>
      </c>
    </row>
    <row r="6"/>
    <row r="7">
      <c r="A7" s="12" t="inlineStr">
        <is>
          <t>Category</t>
        </is>
      </c>
      <c r="B7" s="12" t="inlineStr">
        <is>
          <t>Budget</t>
        </is>
      </c>
      <c r="C7" s="12" t="inlineStr">
        <is>
          <t>Actual</t>
        </is>
      </c>
      <c r="D7" s="12" t="inlineStr">
        <is>
          <t>Variance</t>
        </is>
      </c>
    </row>
    <row r="8">
      <c r="A8" s="15" t="inlineStr">
        <is>
          <t>Food</t>
        </is>
      </c>
      <c r="B8" s="17" t="n">
        <v>3000</v>
      </c>
      <c r="C8" s="17" t="n">
        <v>2800</v>
      </c>
      <c r="D8" s="13">
        <f>B8-C8</f>
        <v/>
      </c>
    </row>
    <row r="9">
      <c r="A9" s="15" t="inlineStr">
        <is>
          <t>Transportation</t>
        </is>
      </c>
      <c r="B9" s="17" t="n">
        <v>1500</v>
      </c>
      <c r="C9" s="17" t="n">
        <v>1200</v>
      </c>
      <c r="D9" s="13">
        <f>B9-C9</f>
        <v/>
      </c>
    </row>
    <row r="10">
      <c r="A10" s="15" t="inlineStr">
        <is>
          <t>Education</t>
        </is>
      </c>
      <c r="B10" s="17" t="n">
        <v>2000</v>
      </c>
      <c r="C10" s="17" t="n">
        <v>1800</v>
      </c>
      <c r="D10" s="13">
        <f>B10-C10</f>
        <v/>
      </c>
    </row>
    <row r="11">
      <c r="A11" s="15" t="inlineStr">
        <is>
          <t>Mobile/Internet</t>
        </is>
      </c>
      <c r="B11" s="17" t="n">
        <v>800</v>
      </c>
      <c r="C11" s="17" t="n">
        <v>700</v>
      </c>
      <c r="D11" s="13">
        <f>B11-C11</f>
        <v/>
      </c>
    </row>
    <row r="12">
      <c r="A12" s="15" t="inlineStr">
        <is>
          <t>Entertainment</t>
        </is>
      </c>
      <c r="B12" s="17" t="n">
        <v>1200</v>
      </c>
      <c r="C12" s="17" t="n">
        <v>1400</v>
      </c>
      <c r="D12" s="13">
        <f>B12-C12</f>
        <v/>
      </c>
    </row>
    <row r="13">
      <c r="A13" s="15" t="inlineStr">
        <is>
          <t>Personal</t>
        </is>
      </c>
      <c r="B13" s="17" t="n">
        <v>1000</v>
      </c>
      <c r="C13" s="17" t="n">
        <v>900</v>
      </c>
      <c r="D13" s="13">
        <f>B13-C13</f>
        <v/>
      </c>
    </row>
    <row r="14">
      <c r="A14" s="15" t="inlineStr">
        <is>
          <t>Emergency Fund</t>
        </is>
      </c>
      <c r="B14" s="17" t="n">
        <v>1500</v>
      </c>
      <c r="C14" s="17" t="n">
        <v>1500</v>
      </c>
      <c r="D14" s="13">
        <f>B14-C14</f>
        <v/>
      </c>
    </row>
    <row r="15"/>
    <row r="16">
      <c r="A16" s="18" t="inlineStr">
        <is>
          <t>Total Expenses</t>
        </is>
      </c>
      <c r="B16" s="18">
        <f>SUM(B8:B14)</f>
        <v/>
      </c>
      <c r="C16" s="18">
        <f>SUM(C8:C14)</f>
        <v/>
      </c>
      <c r="D16" s="18">
        <f>B16-C16</f>
        <v/>
      </c>
    </row>
    <row r="17">
      <c r="A17" s="18" t="inlineStr">
        <is>
          <t>Monthly Savings</t>
        </is>
      </c>
      <c r="B17" s="19">
        <f>B4-C16</f>
        <v/>
      </c>
      <c r="C17" s="19">
        <f>B4-C16</f>
        <v/>
      </c>
      <c r="D17" s="20" t="n"/>
    </row>
    <row r="18">
      <c r="A18" s="18" t="inlineStr">
        <is>
          <t>Savings Rate</t>
        </is>
      </c>
      <c r="B18" s="21">
        <f>B17/B4</f>
        <v/>
      </c>
      <c r="C18" s="21">
        <f>B17/B4</f>
        <v/>
      </c>
      <c r="D18" s="20" t="n"/>
    </row>
  </sheetData>
  <mergeCells count="1">
    <mergeCell ref="A1:D1"/>
  </mergeCells>
  <conditionalFormatting sqref="D8:D14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5" customWidth="1" min="4" max="4"/>
    <col width="20" customWidth="1" min="5" max="5"/>
    <col width="28" customWidth="1" min="6" max="6"/>
  </cols>
  <sheetData>
    <row r="1">
      <c r="A1" s="1" t="inlineStr">
        <is>
          <t>Expense Tracker</t>
        </is>
      </c>
    </row>
    <row r="2"/>
    <row r="3">
      <c r="A3" s="12" t="inlineStr">
        <is>
          <t>Date</t>
        </is>
      </c>
      <c r="B3" s="12" t="inlineStr">
        <is>
          <t>Category</t>
        </is>
      </c>
      <c r="C3" s="12" t="inlineStr">
        <is>
          <t>Description</t>
        </is>
      </c>
      <c r="D3" s="12" t="inlineStr">
        <is>
          <t>Amount (₹)</t>
        </is>
      </c>
      <c r="E3" s="12" t="inlineStr">
        <is>
          <t>Payment Method</t>
        </is>
      </c>
      <c r="F3" s="12" t="inlineStr">
        <is>
          <t>Notes</t>
        </is>
      </c>
    </row>
    <row r="4">
      <c r="A4" s="15" t="inlineStr">
        <is>
          <t>2026-10-01</t>
        </is>
      </c>
      <c r="B4" s="15" t="inlineStr">
        <is>
          <t>Food</t>
        </is>
      </c>
      <c r="C4" s="15" t="inlineStr">
        <is>
          <t>Lunch</t>
        </is>
      </c>
      <c r="D4" s="22" t="n">
        <v>180</v>
      </c>
      <c r="E4" s="15" t="inlineStr">
        <is>
          <t>UPI</t>
        </is>
      </c>
      <c r="F4" s="15" t="inlineStr"/>
    </row>
    <row r="5">
      <c r="A5" s="15" t="inlineStr">
        <is>
          <t>2026-10-01</t>
        </is>
      </c>
      <c r="B5" s="15" t="inlineStr">
        <is>
          <t>Transportation</t>
        </is>
      </c>
      <c r="C5" s="15" t="inlineStr">
        <is>
          <t>Bus</t>
        </is>
      </c>
      <c r="D5" s="22" t="n">
        <v>40</v>
      </c>
      <c r="E5" s="15" t="inlineStr">
        <is>
          <t>Cash</t>
        </is>
      </c>
      <c r="F5" s="15" t="inlineStr"/>
    </row>
    <row r="6">
      <c r="A6" s="15" t="inlineStr">
        <is>
          <t>2026-10-02</t>
        </is>
      </c>
      <c r="B6" s="15" t="inlineStr">
        <is>
          <t>Education</t>
        </is>
      </c>
      <c r="C6" s="15" t="inlineStr">
        <is>
          <t>Notebook</t>
        </is>
      </c>
      <c r="D6" s="22" t="n">
        <v>120</v>
      </c>
      <c r="E6" s="15" t="inlineStr">
        <is>
          <t>UPI</t>
        </is>
      </c>
      <c r="F6" s="15" t="inlineStr"/>
    </row>
    <row r="7">
      <c r="A7" s="15" t="inlineStr">
        <is>
          <t>2026-10-03</t>
        </is>
      </c>
      <c r="B7" s="15" t="inlineStr">
        <is>
          <t>Entertainment</t>
        </is>
      </c>
      <c r="C7" s="15" t="inlineStr">
        <is>
          <t>Movie</t>
        </is>
      </c>
      <c r="D7" s="22" t="n">
        <v>250</v>
      </c>
      <c r="E7" s="15" t="inlineStr">
        <is>
          <t>UPI</t>
        </is>
      </c>
      <c r="F7" s="15" t="inlineStr"/>
    </row>
    <row r="8">
      <c r="A8" s="15" t="inlineStr">
        <is>
          <t>2026-10-04</t>
        </is>
      </c>
      <c r="B8" s="15" t="inlineStr">
        <is>
          <t>Personal</t>
        </is>
      </c>
      <c r="C8" s="15" t="inlineStr">
        <is>
          <t>Stationery</t>
        </is>
      </c>
      <c r="D8" s="22" t="n">
        <v>90</v>
      </c>
      <c r="E8" s="15" t="inlineStr">
        <is>
          <t>Cash</t>
        </is>
      </c>
      <c r="F8" s="15" t="inlineStr"/>
    </row>
    <row r="9">
      <c r="A9" s="23" t="n"/>
      <c r="B9" s="23" t="n"/>
      <c r="C9" s="23" t="n"/>
      <c r="D9" s="24" t="n"/>
      <c r="E9" s="23" t="n"/>
      <c r="F9" s="23" t="n"/>
    </row>
    <row r="10">
      <c r="A10" s="23" t="n"/>
      <c r="B10" s="23" t="n"/>
      <c r="C10" s="23" t="n"/>
      <c r="D10" s="24" t="n"/>
      <c r="E10" s="23" t="n"/>
      <c r="F10" s="23" t="n"/>
    </row>
    <row r="11">
      <c r="A11" s="23" t="n"/>
      <c r="B11" s="23" t="n"/>
      <c r="C11" s="23" t="n"/>
      <c r="D11" s="24" t="n"/>
      <c r="E11" s="23" t="n"/>
      <c r="F11" s="23" t="n"/>
    </row>
    <row r="12">
      <c r="A12" s="23" t="n"/>
      <c r="B12" s="23" t="n"/>
      <c r="C12" s="23" t="n"/>
      <c r="D12" s="24" t="n"/>
      <c r="E12" s="23" t="n"/>
      <c r="F12" s="23" t="n"/>
    </row>
    <row r="13">
      <c r="A13" s="23" t="n"/>
      <c r="B13" s="23" t="n"/>
      <c r="C13" s="23" t="n"/>
      <c r="D13" s="24" t="n"/>
      <c r="E13" s="23" t="n"/>
      <c r="F13" s="23" t="n"/>
    </row>
    <row r="14">
      <c r="A14" s="23" t="n"/>
      <c r="B14" s="23" t="n"/>
      <c r="C14" s="23" t="n"/>
      <c r="D14" s="24" t="n"/>
      <c r="E14" s="23" t="n"/>
      <c r="F14" s="23" t="n"/>
    </row>
    <row r="15">
      <c r="A15" s="23" t="n"/>
      <c r="B15" s="23" t="n"/>
      <c r="C15" s="23" t="n"/>
      <c r="D15" s="24" t="n"/>
      <c r="E15" s="23" t="n"/>
      <c r="F15" s="23" t="n"/>
    </row>
    <row r="16">
      <c r="A16" s="23" t="n"/>
      <c r="B16" s="23" t="n"/>
      <c r="C16" s="23" t="n"/>
      <c r="D16" s="24" t="n"/>
      <c r="E16" s="23" t="n"/>
      <c r="F16" s="23" t="n"/>
    </row>
    <row r="17">
      <c r="A17" s="23" t="n"/>
      <c r="B17" s="23" t="n"/>
      <c r="C17" s="23" t="n"/>
      <c r="D17" s="24" t="n"/>
      <c r="E17" s="23" t="n"/>
      <c r="F17" s="23" t="n"/>
    </row>
    <row r="18">
      <c r="A18" s="23" t="n"/>
      <c r="B18" s="23" t="n"/>
      <c r="C18" s="23" t="n"/>
      <c r="D18" s="24" t="n"/>
      <c r="E18" s="23" t="n"/>
      <c r="F18" s="23" t="n"/>
    </row>
    <row r="19">
      <c r="A19" s="23" t="n"/>
      <c r="B19" s="23" t="n"/>
      <c r="C19" s="23" t="n"/>
      <c r="D19" s="24" t="n"/>
      <c r="E19" s="23" t="n"/>
      <c r="F19" s="23" t="n"/>
    </row>
    <row r="20">
      <c r="A20" s="23" t="n"/>
      <c r="B20" s="23" t="n"/>
      <c r="C20" s="23" t="n"/>
      <c r="D20" s="24" t="n"/>
      <c r="E20" s="23" t="n"/>
      <c r="F20" s="23" t="n"/>
    </row>
    <row r="21">
      <c r="A21" s="23" t="n"/>
      <c r="B21" s="23" t="n"/>
      <c r="C21" s="23" t="n"/>
      <c r="D21" s="24" t="n"/>
      <c r="E21" s="23" t="n"/>
      <c r="F21" s="23" t="n"/>
    </row>
    <row r="22">
      <c r="A22" s="23" t="n"/>
      <c r="B22" s="23" t="n"/>
      <c r="C22" s="23" t="n"/>
      <c r="D22" s="24" t="n"/>
      <c r="E22" s="23" t="n"/>
      <c r="F22" s="23" t="n"/>
    </row>
    <row r="23">
      <c r="A23" s="23" t="n"/>
      <c r="B23" s="23" t="n"/>
      <c r="C23" s="23" t="n"/>
      <c r="D23" s="24" t="n"/>
      <c r="E23" s="23" t="n"/>
      <c r="F23" s="23" t="n"/>
    </row>
    <row r="24">
      <c r="A24" s="23" t="n"/>
      <c r="B24" s="23" t="n"/>
      <c r="C24" s="23" t="n"/>
      <c r="D24" s="24" t="n"/>
      <c r="E24" s="23" t="n"/>
      <c r="F24" s="23" t="n"/>
    </row>
    <row r="25">
      <c r="A25" s="23" t="n"/>
      <c r="B25" s="23" t="n"/>
      <c r="C25" s="23" t="n"/>
      <c r="D25" s="24" t="n"/>
      <c r="E25" s="23" t="n"/>
      <c r="F25" s="23" t="n"/>
    </row>
    <row r="26">
      <c r="A26" s="23" t="n"/>
      <c r="B26" s="23" t="n"/>
      <c r="C26" s="23" t="n"/>
      <c r="D26" s="24" t="n"/>
      <c r="E26" s="23" t="n"/>
      <c r="F26" s="23" t="n"/>
    </row>
    <row r="27">
      <c r="A27" s="23" t="n"/>
      <c r="B27" s="23" t="n"/>
      <c r="C27" s="23" t="n"/>
      <c r="D27" s="24" t="n"/>
      <c r="E27" s="23" t="n"/>
      <c r="F27" s="23" t="n"/>
    </row>
    <row r="28">
      <c r="A28" s="23" t="n"/>
      <c r="B28" s="23" t="n"/>
      <c r="C28" s="23" t="n"/>
      <c r="D28" s="24" t="n"/>
      <c r="E28" s="23" t="n"/>
      <c r="F28" s="23" t="n"/>
    </row>
    <row r="29">
      <c r="A29" s="23" t="n"/>
      <c r="B29" s="23" t="n"/>
      <c r="C29" s="23" t="n"/>
      <c r="D29" s="24" t="n"/>
      <c r="E29" s="23" t="n"/>
      <c r="F29" s="23" t="n"/>
    </row>
    <row r="30">
      <c r="A30" s="23" t="n"/>
      <c r="B30" s="23" t="n"/>
      <c r="C30" s="23" t="n"/>
      <c r="D30" s="24" t="n"/>
      <c r="E30" s="23" t="n"/>
      <c r="F30" s="23" t="n"/>
    </row>
    <row r="31">
      <c r="A31" s="23" t="n"/>
      <c r="B31" s="23" t="n"/>
      <c r="C31" s="23" t="n"/>
      <c r="D31" s="24" t="n"/>
      <c r="E31" s="23" t="n"/>
      <c r="F31" s="23" t="n"/>
    </row>
    <row r="32">
      <c r="A32" s="23" t="n"/>
      <c r="B32" s="23" t="n"/>
      <c r="C32" s="23" t="n"/>
      <c r="D32" s="24" t="n"/>
      <c r="E32" s="23" t="n"/>
      <c r="F32" s="23" t="n"/>
    </row>
    <row r="33">
      <c r="A33" s="23" t="n"/>
      <c r="B33" s="23" t="n"/>
      <c r="C33" s="23" t="n"/>
      <c r="D33" s="24" t="n"/>
      <c r="E33" s="23" t="n"/>
      <c r="F33" s="23" t="n"/>
    </row>
    <row r="34">
      <c r="A34" s="23" t="n"/>
      <c r="B34" s="23" t="n"/>
      <c r="C34" s="23" t="n"/>
      <c r="D34" s="24" t="n"/>
      <c r="E34" s="23" t="n"/>
      <c r="F34" s="23" t="n"/>
    </row>
    <row r="35">
      <c r="A35" s="23" t="n"/>
      <c r="B35" s="23" t="n"/>
      <c r="C35" s="23" t="n"/>
      <c r="D35" s="24" t="n"/>
      <c r="E35" s="23" t="n"/>
      <c r="F35" s="23" t="n"/>
    </row>
    <row r="36">
      <c r="A36" s="23" t="n"/>
      <c r="B36" s="23" t="n"/>
      <c r="C36" s="23" t="n"/>
      <c r="D36" s="24" t="n"/>
      <c r="E36" s="23" t="n"/>
      <c r="F36" s="23" t="n"/>
    </row>
    <row r="37">
      <c r="A37" s="23" t="n"/>
      <c r="B37" s="23" t="n"/>
      <c r="C37" s="23" t="n"/>
      <c r="D37" s="24" t="n"/>
      <c r="E37" s="23" t="n"/>
      <c r="F37" s="23" t="n"/>
    </row>
    <row r="38">
      <c r="A38" s="23" t="n"/>
      <c r="B38" s="23" t="n"/>
      <c r="C38" s="23" t="n"/>
      <c r="D38" s="24" t="n"/>
      <c r="E38" s="23" t="n"/>
      <c r="F38" s="23" t="n"/>
    </row>
    <row r="39">
      <c r="A39" s="23" t="n"/>
      <c r="B39" s="23" t="n"/>
      <c r="C39" s="23" t="n"/>
      <c r="D39" s="24" t="n"/>
      <c r="E39" s="23" t="n"/>
      <c r="F39" s="23" t="n"/>
    </row>
    <row r="40">
      <c r="A40" s="23" t="n"/>
      <c r="B40" s="23" t="n"/>
      <c r="C40" s="23" t="n"/>
      <c r="D40" s="24" t="n"/>
      <c r="E40" s="23" t="n"/>
      <c r="F40" s="23" t="n"/>
    </row>
    <row r="41">
      <c r="A41" s="23" t="n"/>
      <c r="B41" s="23" t="n"/>
      <c r="C41" s="23" t="n"/>
      <c r="D41" s="24" t="n"/>
      <c r="E41" s="23" t="n"/>
      <c r="F41" s="23" t="n"/>
    </row>
    <row r="42">
      <c r="A42" s="23" t="n"/>
      <c r="B42" s="23" t="n"/>
      <c r="C42" s="23" t="n"/>
      <c r="D42" s="24" t="n"/>
      <c r="E42" s="23" t="n"/>
      <c r="F42" s="23" t="n"/>
    </row>
    <row r="43">
      <c r="A43" s="23" t="n"/>
      <c r="B43" s="23" t="n"/>
      <c r="C43" s="23" t="n"/>
      <c r="D43" s="24" t="n"/>
      <c r="E43" s="23" t="n"/>
      <c r="F43" s="23" t="n"/>
    </row>
    <row r="44">
      <c r="A44" s="23" t="n"/>
      <c r="B44" s="23" t="n"/>
      <c r="C44" s="23" t="n"/>
      <c r="D44" s="24" t="n"/>
      <c r="E44" s="23" t="n"/>
      <c r="F44" s="23" t="n"/>
    </row>
    <row r="45">
      <c r="A45" s="23" t="n"/>
      <c r="B45" s="23" t="n"/>
      <c r="C45" s="23" t="n"/>
      <c r="D45" s="24" t="n"/>
      <c r="E45" s="23" t="n"/>
      <c r="F45" s="23" t="n"/>
    </row>
    <row r="46">
      <c r="A46" s="23" t="n"/>
      <c r="B46" s="23" t="n"/>
      <c r="C46" s="23" t="n"/>
      <c r="D46" s="24" t="n"/>
      <c r="E46" s="23" t="n"/>
      <c r="F46" s="23" t="n"/>
    </row>
    <row r="47">
      <c r="A47" s="23" t="n"/>
      <c r="B47" s="23" t="n"/>
      <c r="C47" s="23" t="n"/>
      <c r="D47" s="24" t="n"/>
      <c r="E47" s="23" t="n"/>
      <c r="F47" s="23" t="n"/>
    </row>
    <row r="48">
      <c r="A48" s="23" t="n"/>
      <c r="B48" s="23" t="n"/>
      <c r="C48" s="23" t="n"/>
      <c r="D48" s="24" t="n"/>
      <c r="E48" s="23" t="n"/>
      <c r="F48" s="23" t="n"/>
    </row>
    <row r="49">
      <c r="A49" s="23" t="n"/>
      <c r="B49" s="23" t="n"/>
      <c r="C49" s="23" t="n"/>
      <c r="D49" s="24" t="n"/>
      <c r="E49" s="23" t="n"/>
      <c r="F49" s="23" t="n"/>
    </row>
    <row r="50">
      <c r="A50" s="23" t="n"/>
      <c r="B50" s="23" t="n"/>
      <c r="C50" s="23" t="n"/>
      <c r="D50" s="24" t="n"/>
      <c r="E50" s="23" t="n"/>
      <c r="F50" s="23" t="n"/>
    </row>
    <row r="51">
      <c r="A51" s="23" t="n"/>
      <c r="B51" s="23" t="n"/>
      <c r="C51" s="23" t="n"/>
      <c r="D51" s="24" t="n"/>
      <c r="E51" s="23" t="n"/>
      <c r="F51" s="23" t="n"/>
    </row>
    <row r="52">
      <c r="A52" s="23" t="n"/>
      <c r="B52" s="23" t="n"/>
      <c r="C52" s="23" t="n"/>
      <c r="D52" s="24" t="n"/>
      <c r="E52" s="23" t="n"/>
      <c r="F52" s="23" t="n"/>
    </row>
    <row r="53">
      <c r="A53" s="23" t="n"/>
      <c r="B53" s="23" t="n"/>
      <c r="C53" s="23" t="n"/>
      <c r="D53" s="24" t="n"/>
      <c r="E53" s="23" t="n"/>
      <c r="F53" s="23" t="n"/>
    </row>
  </sheetData>
  <autoFilter ref="A3:F53"/>
  <mergeCells count="1">
    <mergeCell ref="A1:F1"/>
  </mergeCells>
  <dataValidations count="2">
    <dataValidation sqref="B4:B53" showDropDown="0" showInputMessage="0" showErrorMessage="0" allowBlank="1" type="list">
      <formula1>"Food,Transportation,Education,Mobile/Internet,Entertainment,Personal,Emergency Fund"</formula1>
    </dataValidation>
    <dataValidation sqref="E4:E53" showDropDown="0" showInputMessage="0" showErrorMessage="0" allowBlank="1" type="list">
      <formula1>"UPI,Cash,Debit Card,Credit Card,Other"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5" customWidth="1" min="4" max="4"/>
    <col width="18" customWidth="1" min="5" max="5"/>
    <col width="16" customWidth="1" min="6" max="6"/>
  </cols>
  <sheetData>
    <row r="1">
      <c r="A1" s="1" t="inlineStr">
        <is>
          <t>Savings Goal Calculator</t>
        </is>
      </c>
    </row>
    <row r="2"/>
    <row r="3">
      <c r="A3" s="12" t="inlineStr">
        <is>
          <t>Goal</t>
        </is>
      </c>
      <c r="B3" s="12" t="inlineStr">
        <is>
          <t>Target Amount (₹)</t>
        </is>
      </c>
      <c r="C3" s="12" t="inlineStr">
        <is>
          <t>Current Savings (₹)</t>
        </is>
      </c>
      <c r="D3" s="12" t="inlineStr">
        <is>
          <t>Monthly Contribution (₹)</t>
        </is>
      </c>
      <c r="E3" s="12" t="inlineStr">
        <is>
          <t>Remaining (₹)</t>
        </is>
      </c>
      <c r="F3" s="12" t="inlineStr">
        <is>
          <t>Months Needed</t>
        </is>
      </c>
    </row>
    <row r="4">
      <c r="A4" s="25" t="inlineStr">
        <is>
          <t>Emergency Fund</t>
        </is>
      </c>
      <c r="B4" s="13" t="n">
        <v>30000</v>
      </c>
      <c r="C4" s="13" t="n">
        <v>5000</v>
      </c>
      <c r="D4" s="13" t="n">
        <v>2500</v>
      </c>
      <c r="E4" s="13">
        <f>MAX(0,B4-C4)</f>
        <v/>
      </c>
      <c r="F4" s="25">
        <f>IF(D4&gt;0,ROUNDUP(E4/D4,0),"—")</f>
        <v/>
      </c>
    </row>
    <row r="5">
      <c r="A5" s="25" t="inlineStr">
        <is>
          <t>Laptop</t>
        </is>
      </c>
      <c r="B5" s="13" t="n">
        <v>50000</v>
      </c>
      <c r="C5" s="13" t="n">
        <v>10000</v>
      </c>
      <c r="D5" s="13" t="n">
        <v>4000</v>
      </c>
      <c r="E5" s="13">
        <f>MAX(0,B5-C5)</f>
        <v/>
      </c>
      <c r="F5" s="25">
        <f>IF(D5&gt;0,ROUNDUP(E5/D5,0),"—")</f>
        <v/>
      </c>
    </row>
    <row r="6">
      <c r="A6" s="25" t="inlineStr">
        <is>
          <t>Japan Study Fund</t>
        </is>
      </c>
      <c r="B6" s="13" t="n">
        <v>100000</v>
      </c>
      <c r="C6" s="13" t="n">
        <v>15000</v>
      </c>
      <c r="D6" s="13" t="n">
        <v>5000</v>
      </c>
      <c r="E6" s="13">
        <f>MAX(0,B6-C6)</f>
        <v/>
      </c>
      <c r="F6" s="25">
        <f>IF(D6&gt;0,ROUNDUP(E6/D6,0),"—")</f>
        <v/>
      </c>
    </row>
    <row r="7">
      <c r="A7" s="23" t="n"/>
      <c r="B7" s="24" t="n"/>
      <c r="C7" s="24" t="n"/>
      <c r="D7" s="24" t="n"/>
      <c r="E7" s="26">
        <f>IF(B7="","",MAX(0,B7-C7))</f>
        <v/>
      </c>
      <c r="F7" s="27">
        <f>IF(OR(B7="",D7=""),"",ROUNDUP(E7/D7,0))</f>
        <v/>
      </c>
    </row>
    <row r="8">
      <c r="A8" s="23" t="n"/>
      <c r="B8" s="24" t="n"/>
      <c r="C8" s="24" t="n"/>
      <c r="D8" s="24" t="n"/>
      <c r="E8" s="26">
        <f>IF(B8="","",MAX(0,B8-C8))</f>
        <v/>
      </c>
      <c r="F8" s="27">
        <f>IF(OR(B8="",D8=""),"",ROUNDUP(E8/D8,0))</f>
        <v/>
      </c>
    </row>
    <row r="9">
      <c r="A9" s="23" t="n"/>
      <c r="B9" s="24" t="n"/>
      <c r="C9" s="24" t="n"/>
      <c r="D9" s="24" t="n"/>
      <c r="E9" s="26">
        <f>IF(B9="","",MAX(0,B9-C9))</f>
        <v/>
      </c>
      <c r="F9" s="27">
        <f>IF(OR(B9="",D9=""),"",ROUNDUP(E9/D9,0))</f>
        <v/>
      </c>
    </row>
    <row r="10">
      <c r="A10" s="23" t="n"/>
      <c r="B10" s="24" t="n"/>
      <c r="C10" s="24" t="n"/>
      <c r="D10" s="24" t="n"/>
      <c r="E10" s="26">
        <f>IF(B10="","",MAX(0,B10-C10))</f>
        <v/>
      </c>
      <c r="F10" s="27">
        <f>IF(OR(B10="",D10=""),"",ROUNDUP(E10/D10,0))</f>
        <v/>
      </c>
    </row>
    <row r="11">
      <c r="A11" s="23" t="n"/>
      <c r="B11" s="24" t="n"/>
      <c r="C11" s="24" t="n"/>
      <c r="D11" s="24" t="n"/>
      <c r="E11" s="26">
        <f>IF(B11="","",MAX(0,B11-C11))</f>
        <v/>
      </c>
      <c r="F11" s="27">
        <f>IF(OR(B11="",D11=""),"",ROUNDUP(E11/D11,0))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8" customWidth="1" min="4" max="4"/>
    <col width="16" customWidth="1" min="5" max="5"/>
    <col width="18" customWidth="1" min="6" max="6"/>
  </cols>
  <sheetData>
    <row r="1">
      <c r="A1" s="1" t="inlineStr">
        <is>
          <t>What-If Savings Analysis</t>
        </is>
      </c>
    </row>
    <row r="2"/>
    <row r="3">
      <c r="A3" s="12" t="inlineStr">
        <is>
          <t>Scenario</t>
        </is>
      </c>
      <c r="B3" s="12" t="inlineStr">
        <is>
          <t>Monthly Income</t>
        </is>
      </c>
      <c r="C3" s="12" t="inlineStr">
        <is>
          <t>Monthly Expenses</t>
        </is>
      </c>
      <c r="D3" s="12" t="inlineStr">
        <is>
          <t>Monthly Savings</t>
        </is>
      </c>
      <c r="E3" s="12" t="inlineStr">
        <is>
          <t>Savings Rate</t>
        </is>
      </c>
      <c r="F3" s="12" t="inlineStr">
        <is>
          <t>Annual Savings</t>
        </is>
      </c>
    </row>
    <row r="4">
      <c r="A4" s="25" t="inlineStr">
        <is>
          <t>Current Budget</t>
        </is>
      </c>
      <c r="B4" s="13" t="n">
        <v>15000</v>
      </c>
      <c r="C4" s="13" t="n">
        <v>10300</v>
      </c>
      <c r="D4" s="13">
        <f>B4-C4</f>
        <v/>
      </c>
      <c r="E4" s="28">
        <f>D4/B4</f>
        <v/>
      </c>
      <c r="F4" s="13">
        <f>D4*12</f>
        <v/>
      </c>
    </row>
    <row r="5">
      <c r="A5" s="25" t="inlineStr">
        <is>
          <t>Reduce Entertainment by ₹500</t>
        </is>
      </c>
      <c r="B5" s="13" t="n">
        <v>15000</v>
      </c>
      <c r="C5" s="13" t="n">
        <v>9800</v>
      </c>
      <c r="D5" s="13">
        <f>B5-C5</f>
        <v/>
      </c>
      <c r="E5" s="28">
        <f>D5/B5</f>
        <v/>
      </c>
      <c r="F5" s="13">
        <f>D5*12</f>
        <v/>
      </c>
    </row>
    <row r="6">
      <c r="A6" s="25" t="inlineStr">
        <is>
          <t>Reduce Food + Entertainment by ₹1,000</t>
        </is>
      </c>
      <c r="B6" s="13" t="n">
        <v>15000</v>
      </c>
      <c r="C6" s="13" t="n">
        <v>9300</v>
      </c>
      <c r="D6" s="13">
        <f>B6-C6</f>
        <v/>
      </c>
      <c r="E6" s="28">
        <f>D6/B6</f>
        <v/>
      </c>
      <c r="F6" s="13">
        <f>D6*12</f>
        <v/>
      </c>
    </row>
    <row r="7"/>
    <row r="8"/>
    <row r="9">
      <c r="A9" s="29" t="inlineStr">
        <is>
          <t>How to use</t>
        </is>
      </c>
    </row>
    <row r="10">
      <c r="A10" s="15" t="inlineStr">
        <is>
          <t>Edit the income and expense assumptions in rows 4–6 to test how spending changes affect monthly and annual savings. Keep assumptions realistic and document your reasoning in your project report.</t>
        </is>
      </c>
    </row>
    <row r="11"/>
    <row r="12"/>
  </sheetData>
  <mergeCells count="2">
    <mergeCell ref="A10:F1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Project Guide &amp; Resume Notes</t>
        </is>
      </c>
    </row>
    <row r="2"/>
    <row r="3">
      <c r="A3" s="18" t="inlineStr">
        <is>
          <t>Project Title</t>
        </is>
      </c>
      <c r="B3" s="15" t="inlineStr">
        <is>
          <t>Personal Finance &amp; Budgeting Model for College Students</t>
        </is>
      </c>
    </row>
    <row r="4">
      <c r="A4" s="18" t="inlineStr">
        <is>
          <t>Objective</t>
        </is>
      </c>
      <c r="B4" s="15" t="inlineStr">
        <is>
          <t>Build a practical Excel model for tracking expenses, managing a monthly budget, setting savings goals and testing spending scenarios.</t>
        </is>
      </c>
    </row>
    <row r="5">
      <c r="A5" s="18" t="inlineStr">
        <is>
          <t>Tools</t>
        </is>
      </c>
      <c r="B5" s="15" t="inlineStr">
        <is>
          <t>Microsoft Excel / Google Sheets</t>
        </is>
      </c>
    </row>
    <row r="6">
      <c r="A6" s="18" t="inlineStr">
        <is>
          <t>Key Skills</t>
        </is>
      </c>
      <c r="B6" s="15" t="inlineStr">
        <is>
          <t>Excel formulas, budgeting, financial analysis, data organization, dashboard creation, what-if analysis</t>
        </is>
      </c>
    </row>
    <row r="7">
      <c r="A7" s="18" t="inlineStr">
        <is>
          <t>Suggested Evidence</t>
        </is>
      </c>
      <c r="B7" s="15" t="inlineStr">
        <is>
          <t>Keep screenshots of the dashboard, budget planner, savings goals and what-if analysis for your portfolio.</t>
        </is>
      </c>
    </row>
    <row r="8" ht="45" customHeight="1">
      <c r="A8" s="18" t="inlineStr">
        <is>
          <t>Interview Explanation</t>
        </is>
      </c>
      <c r="B8" s="15" t="inlineStr">
        <is>
          <t>Explain the assumptions, formulas, dashboard design and how changing expenses affects savings.</t>
        </is>
      </c>
    </row>
    <row r="9">
      <c r="A9" s="18" t="inlineStr">
        <is>
          <t>Resume Tip</t>
        </is>
      </c>
      <c r="B9" s="15" t="inlineStr">
        <is>
          <t>List the project after completing and testing it. Mention only features you can confidently demonstrate.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2026-10-01T18:20:59Z</dcterms:created>
  <dcterms:modified xmlns:dcterms="http://purl.org/dc/terms/" xmlns:xsi="http://www.w3.org/2001/XMLSchema-instance" xsi:type="dcterms:W3CDTF">2026-10-01T18:20:59Z</dcterms:modified>
</cp:coreProperties>
</file>